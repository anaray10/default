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nj-my.sharepoint.com/personal/anaray10_its_jnj_com/Documents/Downloads-OD/Project/"/>
    </mc:Choice>
  </mc:AlternateContent>
  <xr:revisionPtr revIDLastSave="0" documentId="8_{74CA981F-E560-4BC9-B8A4-2B3DEF59A21F}" xr6:coauthVersionLast="47" xr6:coauthVersionMax="47" xr10:uidLastSave="{00000000-0000-0000-0000-000000000000}"/>
  <bookViews>
    <workbookView xWindow="-120" yWindow="-120" windowWidth="29040" windowHeight="15720" activeTab="1" xr2:uid="{3DCBD02F-13A5-402D-AA90-FA90A26B3339}"/>
  </bookViews>
  <sheets>
    <sheet name="Sheet1" sheetId="1" r:id="rId1"/>
    <sheet name="Insights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4" i="8" l="1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B14" i="8"/>
  <c r="B13" i="8"/>
  <c r="B12" i="8"/>
  <c r="B6" i="8"/>
  <c r="B5" i="8"/>
  <c r="B4" i="8"/>
</calcChain>
</file>

<file path=xl/sharedStrings.xml><?xml version="1.0" encoding="utf-8"?>
<sst xmlns="http://schemas.openxmlformats.org/spreadsheetml/2006/main" count="244" uniqueCount="87">
  <si>
    <t>AVERAGE DELIVERY TIMELINE BY RISK LEVEL</t>
  </si>
  <si>
    <t>Risk Level</t>
  </si>
  <si>
    <t>Avg Delivery Timeline (Days)</t>
  </si>
  <si>
    <t>High</t>
  </si>
  <si>
    <t>Medium</t>
  </si>
  <si>
    <t>Low</t>
  </si>
  <si>
    <t>Component Number</t>
  </si>
  <si>
    <t>Supplier Name</t>
  </si>
  <si>
    <t>Delivery Timeline (Days)</t>
  </si>
  <si>
    <t>Raw Material Cost ($)</t>
  </si>
  <si>
    <t>Mitigation Plan</t>
  </si>
  <si>
    <t>Supply Chain Expected Date</t>
  </si>
  <si>
    <t>Defect Rate (%)</t>
  </si>
  <si>
    <t>Production Usage Rate (Units/Day)</t>
  </si>
  <si>
    <t>Supplier Reliability (%)</t>
  </si>
  <si>
    <t>Inventory Level (Units)</t>
  </si>
  <si>
    <t>Reorder Point (Units)</t>
  </si>
  <si>
    <t>Lead Time Variance (Days)</t>
  </si>
  <si>
    <t>Expedite Shipping Cost ($)</t>
  </si>
  <si>
    <t>Order Size (Units)</t>
  </si>
  <si>
    <t>On-Time Delivery Rate (%)</t>
  </si>
  <si>
    <t>Backorder Volume (Units)</t>
  </si>
  <si>
    <t>Quality Inspection Pass Rate (%)</t>
  </si>
  <si>
    <t>Forecast Accuracy (%)</t>
  </si>
  <si>
    <t>Safety Stock (Units)</t>
  </si>
  <si>
    <t>BIND567</t>
  </si>
  <si>
    <t>EcoSupply</t>
  </si>
  <si>
    <t>Negotiate Terms</t>
  </si>
  <si>
    <t>CARB123</t>
  </si>
  <si>
    <t>RawMatPlus</t>
  </si>
  <si>
    <t>Review Contract</t>
  </si>
  <si>
    <t>Expedite Shipping</t>
  </si>
  <si>
    <t>Increase Inventory</t>
  </si>
  <si>
    <t>COAT890</t>
  </si>
  <si>
    <t>GlobalChem</t>
  </si>
  <si>
    <t>Source Alternative</t>
  </si>
  <si>
    <t>NextGen Pharma</t>
  </si>
  <si>
    <t>COMP010</t>
  </si>
  <si>
    <t>PrimeLogistics</t>
  </si>
  <si>
    <t>COMP011</t>
  </si>
  <si>
    <t>COMP012</t>
  </si>
  <si>
    <t>COMP013</t>
  </si>
  <si>
    <t>COMP014</t>
  </si>
  <si>
    <t>COMP015</t>
  </si>
  <si>
    <t>COMP016</t>
  </si>
  <si>
    <t>COMP017</t>
  </si>
  <si>
    <t>COMP018</t>
  </si>
  <si>
    <t>COMP019</t>
  </si>
  <si>
    <t>COMP020</t>
  </si>
  <si>
    <t>COMP021</t>
  </si>
  <si>
    <t>COMP022</t>
  </si>
  <si>
    <t>COMP023</t>
  </si>
  <si>
    <t>COMP024</t>
  </si>
  <si>
    <t>COMP025</t>
  </si>
  <si>
    <t>COMP026</t>
  </si>
  <si>
    <t>COMP027</t>
  </si>
  <si>
    <t>COMP028</t>
  </si>
  <si>
    <t>COMP029</t>
  </si>
  <si>
    <t>COMP030</t>
  </si>
  <si>
    <t>COMP031</t>
  </si>
  <si>
    <t>COMP032</t>
  </si>
  <si>
    <t>COMP033</t>
  </si>
  <si>
    <t>COMP034</t>
  </si>
  <si>
    <t>COMP035</t>
  </si>
  <si>
    <t>COMP036</t>
  </si>
  <si>
    <t>COMP037</t>
  </si>
  <si>
    <t>COMP038</t>
  </si>
  <si>
    <t>COMP039</t>
  </si>
  <si>
    <t>COMP040</t>
  </si>
  <si>
    <t>COMP041</t>
  </si>
  <si>
    <t>COMP042</t>
  </si>
  <si>
    <t>COMP043</t>
  </si>
  <si>
    <t>COMP044</t>
  </si>
  <si>
    <t>COMP045</t>
  </si>
  <si>
    <t>COMP046</t>
  </si>
  <si>
    <t>COMP047</t>
  </si>
  <si>
    <t>COMP048</t>
  </si>
  <si>
    <t>COMP049</t>
  </si>
  <si>
    <t>ON-TIME DELIVERY RATE FOR DELAYED COMPONENTS (CARB123, BIND567, COAT890)</t>
  </si>
  <si>
    <t>Component</t>
  </si>
  <si>
    <t>Avg On-Time Delivery Rate (%)</t>
  </si>
  <si>
    <t>SUPPLIER PERFORMANCE BREAKDOWN</t>
  </si>
  <si>
    <t>Supplier</t>
  </si>
  <si>
    <t>Avg Reliability (%)</t>
  </si>
  <si>
    <t>Avg On-Time Delivery (%)</t>
  </si>
  <si>
    <t>Avg Defect Rate (%)</t>
  </si>
  <si>
    <t># Components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</si>
</sst>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A78B8-41A1-493A-921E-320DEA72265C}">
  <dimension ref="A1:T51"/>
  <sheetViews>
    <sheetView workbookViewId="0">
      <selection activeCell="Q18" sqref="Q18"/>
    </sheetView>
  </sheetViews>
  <sheetFormatPr defaultRowHeight="15" x14ac:dyDescent="0.25"/>
  <sheetData>
    <row r="1" spans="1:20" x14ac:dyDescent="0.25">
      <c r="A1" t="s">
        <v>6</v>
      </c>
      <c r="B1" t="s">
        <v>7</v>
      </c>
      <c r="C1" t="s">
        <v>8</v>
      </c>
      <c r="D1" t="s">
        <v>9</v>
      </c>
      <c r="E1" t="s">
        <v>1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</row>
    <row r="2" spans="1:20" x14ac:dyDescent="0.25">
      <c r="A2" t="s">
        <v>25</v>
      </c>
      <c r="B2" t="s">
        <v>26</v>
      </c>
      <c r="C2">
        <v>64</v>
      </c>
      <c r="D2">
        <v>1309</v>
      </c>
      <c r="E2" t="s">
        <v>4</v>
      </c>
      <c r="F2" t="s">
        <v>27</v>
      </c>
      <c r="G2" s="2">
        <v>45641</v>
      </c>
      <c r="H2">
        <v>2.91</v>
      </c>
      <c r="I2">
        <v>1496</v>
      </c>
      <c r="J2">
        <v>99</v>
      </c>
      <c r="K2">
        <v>25500</v>
      </c>
      <c r="L2">
        <v>580</v>
      </c>
      <c r="M2">
        <v>26</v>
      </c>
      <c r="N2">
        <v>1100</v>
      </c>
      <c r="O2">
        <v>2698</v>
      </c>
      <c r="P2">
        <v>99</v>
      </c>
      <c r="Q2">
        <v>453</v>
      </c>
      <c r="R2">
        <v>95</v>
      </c>
      <c r="S2">
        <v>98</v>
      </c>
      <c r="T2">
        <v>398</v>
      </c>
    </row>
    <row r="3" spans="1:20" x14ac:dyDescent="0.25">
      <c r="A3" t="s">
        <v>28</v>
      </c>
      <c r="B3" t="s">
        <v>29</v>
      </c>
      <c r="C3">
        <v>62</v>
      </c>
      <c r="D3">
        <v>1112</v>
      </c>
      <c r="E3" t="s">
        <v>4</v>
      </c>
      <c r="F3" t="s">
        <v>30</v>
      </c>
      <c r="G3" s="2">
        <v>45641</v>
      </c>
      <c r="H3">
        <v>4.41</v>
      </c>
      <c r="I3">
        <v>1277</v>
      </c>
      <c r="J3">
        <v>97</v>
      </c>
      <c r="K3">
        <v>16530</v>
      </c>
      <c r="L3">
        <v>1214</v>
      </c>
      <c r="M3">
        <v>24</v>
      </c>
      <c r="N3">
        <v>1196</v>
      </c>
      <c r="O3">
        <v>1569</v>
      </c>
      <c r="P3">
        <v>84</v>
      </c>
      <c r="Q3">
        <v>110</v>
      </c>
      <c r="R3">
        <v>95</v>
      </c>
      <c r="S3">
        <v>83</v>
      </c>
      <c r="T3">
        <v>347</v>
      </c>
    </row>
    <row r="4" spans="1:20" x14ac:dyDescent="0.25">
      <c r="A4" t="s">
        <v>28</v>
      </c>
      <c r="B4" t="s">
        <v>29</v>
      </c>
      <c r="C4">
        <v>10</v>
      </c>
      <c r="D4">
        <v>1108</v>
      </c>
      <c r="E4" t="s">
        <v>3</v>
      </c>
      <c r="F4" t="s">
        <v>31</v>
      </c>
      <c r="G4" s="2">
        <v>45494</v>
      </c>
      <c r="H4">
        <v>2.56</v>
      </c>
      <c r="I4">
        <v>771</v>
      </c>
      <c r="J4">
        <v>87</v>
      </c>
      <c r="K4">
        <v>20100</v>
      </c>
      <c r="L4">
        <v>1262</v>
      </c>
      <c r="M4">
        <v>8</v>
      </c>
      <c r="N4">
        <v>1603</v>
      </c>
      <c r="O4">
        <v>1538</v>
      </c>
      <c r="P4">
        <v>98</v>
      </c>
      <c r="Q4">
        <v>219</v>
      </c>
      <c r="R4">
        <v>99</v>
      </c>
      <c r="S4">
        <v>92</v>
      </c>
      <c r="T4">
        <v>485</v>
      </c>
    </row>
    <row r="5" spans="1:20" x14ac:dyDescent="0.25">
      <c r="A5" t="s">
        <v>28</v>
      </c>
      <c r="B5" t="s">
        <v>29</v>
      </c>
      <c r="C5">
        <v>12</v>
      </c>
      <c r="D5">
        <v>1046</v>
      </c>
      <c r="E5" t="s">
        <v>5</v>
      </c>
      <c r="F5" t="s">
        <v>27</v>
      </c>
      <c r="G5" s="2">
        <v>45372</v>
      </c>
      <c r="H5">
        <v>1.22</v>
      </c>
      <c r="I5">
        <v>1196</v>
      </c>
      <c r="J5">
        <v>91</v>
      </c>
      <c r="K5">
        <v>34420</v>
      </c>
      <c r="L5">
        <v>565</v>
      </c>
      <c r="M5">
        <v>6</v>
      </c>
      <c r="N5">
        <v>1281</v>
      </c>
      <c r="O5">
        <v>2220</v>
      </c>
      <c r="P5">
        <v>94</v>
      </c>
      <c r="Q5">
        <v>270</v>
      </c>
      <c r="R5">
        <v>94</v>
      </c>
      <c r="S5">
        <v>97</v>
      </c>
      <c r="T5">
        <v>740</v>
      </c>
    </row>
    <row r="6" spans="1:20" x14ac:dyDescent="0.25">
      <c r="A6" t="s">
        <v>28</v>
      </c>
      <c r="B6" t="s">
        <v>29</v>
      </c>
      <c r="C6">
        <v>9</v>
      </c>
      <c r="D6">
        <v>1393</v>
      </c>
      <c r="E6" t="s">
        <v>3</v>
      </c>
      <c r="F6" t="s">
        <v>32</v>
      </c>
      <c r="G6" s="2">
        <v>45332</v>
      </c>
      <c r="H6">
        <v>2.46</v>
      </c>
      <c r="I6">
        <v>964</v>
      </c>
      <c r="J6">
        <v>85</v>
      </c>
      <c r="K6">
        <v>49060</v>
      </c>
      <c r="L6">
        <v>1239</v>
      </c>
      <c r="M6">
        <v>4</v>
      </c>
      <c r="N6">
        <v>1525</v>
      </c>
      <c r="O6">
        <v>2560</v>
      </c>
      <c r="P6">
        <v>85</v>
      </c>
      <c r="Q6">
        <v>259</v>
      </c>
      <c r="R6">
        <v>91</v>
      </c>
      <c r="S6">
        <v>89</v>
      </c>
      <c r="T6">
        <v>730</v>
      </c>
    </row>
    <row r="7" spans="1:20" x14ac:dyDescent="0.25">
      <c r="A7" t="s">
        <v>33</v>
      </c>
      <c r="B7" t="s">
        <v>34</v>
      </c>
      <c r="C7">
        <v>60</v>
      </c>
      <c r="D7">
        <v>1125</v>
      </c>
      <c r="E7" t="s">
        <v>5</v>
      </c>
      <c r="F7" t="s">
        <v>35</v>
      </c>
      <c r="G7" s="2">
        <v>45630</v>
      </c>
      <c r="H7">
        <v>3.55</v>
      </c>
      <c r="I7">
        <v>1413</v>
      </c>
      <c r="J7">
        <v>93</v>
      </c>
      <c r="K7">
        <v>13560</v>
      </c>
      <c r="L7">
        <v>1104</v>
      </c>
      <c r="M7">
        <v>22</v>
      </c>
      <c r="N7">
        <v>565</v>
      </c>
      <c r="O7">
        <v>1061</v>
      </c>
      <c r="P7">
        <v>82</v>
      </c>
      <c r="Q7">
        <v>111</v>
      </c>
      <c r="R7">
        <v>93</v>
      </c>
      <c r="S7">
        <v>96</v>
      </c>
      <c r="T7">
        <v>608</v>
      </c>
    </row>
    <row r="8" spans="1:20" x14ac:dyDescent="0.25">
      <c r="A8" t="s">
        <v>33</v>
      </c>
      <c r="B8" t="s">
        <v>34</v>
      </c>
      <c r="C8">
        <v>15</v>
      </c>
      <c r="D8">
        <v>1116</v>
      </c>
      <c r="E8" t="s">
        <v>4</v>
      </c>
      <c r="F8" t="s">
        <v>27</v>
      </c>
      <c r="G8" s="2">
        <v>45410</v>
      </c>
      <c r="H8">
        <v>0.95</v>
      </c>
      <c r="I8">
        <v>784</v>
      </c>
      <c r="J8">
        <v>92</v>
      </c>
      <c r="K8">
        <v>36030</v>
      </c>
      <c r="L8">
        <v>1354</v>
      </c>
      <c r="M8">
        <v>5</v>
      </c>
      <c r="N8">
        <v>833</v>
      </c>
      <c r="O8">
        <v>1758</v>
      </c>
      <c r="P8">
        <v>91</v>
      </c>
      <c r="Q8">
        <v>107</v>
      </c>
      <c r="R8">
        <v>94</v>
      </c>
      <c r="S8">
        <v>82</v>
      </c>
      <c r="T8">
        <v>611</v>
      </c>
    </row>
    <row r="9" spans="1:20" x14ac:dyDescent="0.25">
      <c r="A9" t="s">
        <v>33</v>
      </c>
      <c r="B9" t="s">
        <v>29</v>
      </c>
      <c r="C9">
        <v>8</v>
      </c>
      <c r="D9">
        <v>1083</v>
      </c>
      <c r="E9" t="s">
        <v>4</v>
      </c>
      <c r="F9" t="s">
        <v>31</v>
      </c>
      <c r="G9" s="2">
        <v>45433</v>
      </c>
      <c r="H9">
        <v>3.6</v>
      </c>
      <c r="I9">
        <v>724</v>
      </c>
      <c r="J9">
        <v>95</v>
      </c>
      <c r="K9">
        <v>23280</v>
      </c>
      <c r="L9">
        <v>1363</v>
      </c>
      <c r="M9">
        <v>0</v>
      </c>
      <c r="N9">
        <v>969</v>
      </c>
      <c r="O9">
        <v>2683</v>
      </c>
      <c r="P9">
        <v>81</v>
      </c>
      <c r="Q9">
        <v>412</v>
      </c>
      <c r="R9">
        <v>95</v>
      </c>
      <c r="S9">
        <v>92</v>
      </c>
      <c r="T9">
        <v>437</v>
      </c>
    </row>
    <row r="10" spans="1:20" x14ac:dyDescent="0.25">
      <c r="A10" t="s">
        <v>33</v>
      </c>
      <c r="B10" t="s">
        <v>36</v>
      </c>
      <c r="C10">
        <v>10</v>
      </c>
      <c r="D10">
        <v>1390</v>
      </c>
      <c r="E10" t="s">
        <v>5</v>
      </c>
      <c r="F10" t="s">
        <v>30</v>
      </c>
      <c r="G10" s="2">
        <v>45536</v>
      </c>
      <c r="H10">
        <v>3.2</v>
      </c>
      <c r="I10">
        <v>1000</v>
      </c>
      <c r="J10">
        <v>85</v>
      </c>
      <c r="K10">
        <v>14580</v>
      </c>
      <c r="L10">
        <v>1451</v>
      </c>
      <c r="M10">
        <v>5</v>
      </c>
      <c r="N10">
        <v>1129</v>
      </c>
      <c r="O10">
        <v>1490</v>
      </c>
      <c r="P10">
        <v>81</v>
      </c>
      <c r="Q10">
        <v>123</v>
      </c>
      <c r="R10">
        <v>99</v>
      </c>
      <c r="S10">
        <v>82</v>
      </c>
      <c r="T10">
        <v>343</v>
      </c>
    </row>
    <row r="11" spans="1:20" x14ac:dyDescent="0.25">
      <c r="A11" t="s">
        <v>33</v>
      </c>
      <c r="B11" t="s">
        <v>34</v>
      </c>
      <c r="C11">
        <v>13</v>
      </c>
      <c r="D11">
        <v>1392</v>
      </c>
      <c r="E11" t="s">
        <v>5</v>
      </c>
      <c r="F11" t="s">
        <v>35</v>
      </c>
      <c r="G11" s="2">
        <v>45612</v>
      </c>
      <c r="H11">
        <v>4.76</v>
      </c>
      <c r="I11">
        <v>669</v>
      </c>
      <c r="J11">
        <v>89</v>
      </c>
      <c r="K11">
        <v>31610</v>
      </c>
      <c r="L11">
        <v>1393</v>
      </c>
      <c r="M11">
        <v>9</v>
      </c>
      <c r="N11">
        <v>1366</v>
      </c>
      <c r="O11">
        <v>2975</v>
      </c>
      <c r="P11">
        <v>86</v>
      </c>
      <c r="Q11">
        <v>475</v>
      </c>
      <c r="R11">
        <v>98</v>
      </c>
      <c r="S11">
        <v>86</v>
      </c>
      <c r="T11">
        <v>665</v>
      </c>
    </row>
    <row r="12" spans="1:20" x14ac:dyDescent="0.25">
      <c r="A12" t="s">
        <v>37</v>
      </c>
      <c r="B12" t="s">
        <v>38</v>
      </c>
      <c r="C12">
        <v>15</v>
      </c>
      <c r="D12">
        <v>1332</v>
      </c>
      <c r="E12" t="s">
        <v>4</v>
      </c>
      <c r="F12" t="s">
        <v>31</v>
      </c>
      <c r="G12" s="2">
        <v>45550</v>
      </c>
      <c r="H12">
        <v>1.04</v>
      </c>
      <c r="I12">
        <v>730</v>
      </c>
      <c r="J12">
        <v>86</v>
      </c>
      <c r="K12">
        <v>23840</v>
      </c>
      <c r="L12">
        <v>521</v>
      </c>
      <c r="M12">
        <v>9</v>
      </c>
      <c r="N12">
        <v>1634</v>
      </c>
      <c r="O12">
        <v>1471</v>
      </c>
      <c r="P12">
        <v>98</v>
      </c>
      <c r="Q12">
        <v>112</v>
      </c>
      <c r="R12">
        <v>90</v>
      </c>
      <c r="S12">
        <v>82</v>
      </c>
      <c r="T12">
        <v>662</v>
      </c>
    </row>
    <row r="13" spans="1:20" x14ac:dyDescent="0.25">
      <c r="A13" t="s">
        <v>39</v>
      </c>
      <c r="B13" t="s">
        <v>36</v>
      </c>
      <c r="C13">
        <v>6</v>
      </c>
      <c r="D13">
        <v>1463</v>
      </c>
      <c r="E13" t="s">
        <v>5</v>
      </c>
      <c r="F13" t="s">
        <v>32</v>
      </c>
      <c r="G13" s="2">
        <v>45339</v>
      </c>
      <c r="H13">
        <v>1.57</v>
      </c>
      <c r="I13">
        <v>1185</v>
      </c>
      <c r="J13">
        <v>92</v>
      </c>
      <c r="K13">
        <v>18770</v>
      </c>
      <c r="L13">
        <v>1052</v>
      </c>
      <c r="M13">
        <v>2</v>
      </c>
      <c r="N13">
        <v>1981</v>
      </c>
      <c r="O13">
        <v>2915</v>
      </c>
      <c r="P13">
        <v>98</v>
      </c>
      <c r="Q13">
        <v>295</v>
      </c>
      <c r="R13">
        <v>97</v>
      </c>
      <c r="S13">
        <v>87</v>
      </c>
      <c r="T13">
        <v>701</v>
      </c>
    </row>
    <row r="14" spans="1:20" x14ac:dyDescent="0.25">
      <c r="A14" t="s">
        <v>40</v>
      </c>
      <c r="B14" t="s">
        <v>38</v>
      </c>
      <c r="C14">
        <v>8</v>
      </c>
      <c r="D14">
        <v>1048</v>
      </c>
      <c r="E14" t="s">
        <v>5</v>
      </c>
      <c r="F14" t="s">
        <v>31</v>
      </c>
      <c r="G14" s="2">
        <v>45457</v>
      </c>
      <c r="H14">
        <v>2.35</v>
      </c>
      <c r="I14">
        <v>1384</v>
      </c>
      <c r="J14">
        <v>96</v>
      </c>
      <c r="K14">
        <v>12210</v>
      </c>
      <c r="L14">
        <v>1189</v>
      </c>
      <c r="M14">
        <v>10</v>
      </c>
      <c r="N14">
        <v>1823</v>
      </c>
      <c r="O14">
        <v>1201</v>
      </c>
      <c r="P14">
        <v>81</v>
      </c>
      <c r="Q14">
        <v>206</v>
      </c>
      <c r="R14">
        <v>95</v>
      </c>
      <c r="S14">
        <v>83</v>
      </c>
      <c r="T14">
        <v>427</v>
      </c>
    </row>
    <row r="15" spans="1:20" x14ac:dyDescent="0.25">
      <c r="A15" t="s">
        <v>41</v>
      </c>
      <c r="B15" t="s">
        <v>36</v>
      </c>
      <c r="C15">
        <v>13</v>
      </c>
      <c r="D15">
        <v>1229</v>
      </c>
      <c r="E15" t="s">
        <v>5</v>
      </c>
      <c r="F15" t="s">
        <v>31</v>
      </c>
      <c r="G15" s="2">
        <v>45360</v>
      </c>
      <c r="H15">
        <v>2.58</v>
      </c>
      <c r="I15">
        <v>1395</v>
      </c>
      <c r="J15">
        <v>99</v>
      </c>
      <c r="K15">
        <v>13080</v>
      </c>
      <c r="L15">
        <v>953</v>
      </c>
      <c r="M15">
        <v>8</v>
      </c>
      <c r="N15">
        <v>700</v>
      </c>
      <c r="O15">
        <v>1103</v>
      </c>
      <c r="P15">
        <v>97</v>
      </c>
      <c r="Q15">
        <v>428</v>
      </c>
      <c r="R15">
        <v>90</v>
      </c>
      <c r="S15">
        <v>82</v>
      </c>
      <c r="T15">
        <v>774</v>
      </c>
    </row>
    <row r="16" spans="1:20" x14ac:dyDescent="0.25">
      <c r="A16" t="s">
        <v>42</v>
      </c>
      <c r="B16" t="s">
        <v>36</v>
      </c>
      <c r="C16">
        <v>11</v>
      </c>
      <c r="D16">
        <v>1248</v>
      </c>
      <c r="E16" t="s">
        <v>4</v>
      </c>
      <c r="F16" t="s">
        <v>35</v>
      </c>
      <c r="G16" s="2">
        <v>45475</v>
      </c>
      <c r="H16">
        <v>1.24</v>
      </c>
      <c r="I16">
        <v>502</v>
      </c>
      <c r="J16">
        <v>91</v>
      </c>
      <c r="K16">
        <v>20860</v>
      </c>
      <c r="L16">
        <v>1448</v>
      </c>
      <c r="M16">
        <v>7</v>
      </c>
      <c r="N16">
        <v>1084</v>
      </c>
      <c r="O16">
        <v>1866</v>
      </c>
      <c r="P16">
        <v>97</v>
      </c>
      <c r="Q16">
        <v>338</v>
      </c>
      <c r="R16">
        <v>97</v>
      </c>
      <c r="S16">
        <v>84</v>
      </c>
      <c r="T16">
        <v>397</v>
      </c>
    </row>
    <row r="17" spans="1:20" x14ac:dyDescent="0.25">
      <c r="A17" t="s">
        <v>43</v>
      </c>
      <c r="B17" t="s">
        <v>36</v>
      </c>
      <c r="C17">
        <v>5</v>
      </c>
      <c r="D17">
        <v>1296</v>
      </c>
      <c r="E17" t="s">
        <v>3</v>
      </c>
      <c r="F17" t="s">
        <v>30</v>
      </c>
      <c r="G17" s="2">
        <v>45315</v>
      </c>
      <c r="H17">
        <v>1.91</v>
      </c>
      <c r="I17">
        <v>551</v>
      </c>
      <c r="J17">
        <v>94</v>
      </c>
      <c r="K17">
        <v>29520</v>
      </c>
      <c r="L17">
        <v>1014</v>
      </c>
      <c r="M17">
        <v>8</v>
      </c>
      <c r="N17">
        <v>822</v>
      </c>
      <c r="O17">
        <v>1116</v>
      </c>
      <c r="P17">
        <v>96</v>
      </c>
      <c r="Q17">
        <v>41</v>
      </c>
      <c r="R17">
        <v>92</v>
      </c>
      <c r="S17">
        <v>82</v>
      </c>
      <c r="T17">
        <v>604</v>
      </c>
    </row>
    <row r="18" spans="1:20" x14ac:dyDescent="0.25">
      <c r="A18" t="s">
        <v>44</v>
      </c>
      <c r="B18" t="s">
        <v>36</v>
      </c>
      <c r="C18">
        <v>11</v>
      </c>
      <c r="D18">
        <v>1061</v>
      </c>
      <c r="E18" t="s">
        <v>3</v>
      </c>
      <c r="F18" t="s">
        <v>35</v>
      </c>
      <c r="G18" s="2">
        <v>45585</v>
      </c>
      <c r="H18">
        <v>0.68</v>
      </c>
      <c r="I18">
        <v>583</v>
      </c>
      <c r="J18">
        <v>91</v>
      </c>
      <c r="K18">
        <v>36920</v>
      </c>
      <c r="L18">
        <v>1097</v>
      </c>
      <c r="M18">
        <v>9</v>
      </c>
      <c r="N18">
        <v>1570</v>
      </c>
      <c r="O18">
        <v>1647</v>
      </c>
      <c r="P18">
        <v>88</v>
      </c>
      <c r="Q18">
        <v>104</v>
      </c>
      <c r="R18">
        <v>95</v>
      </c>
      <c r="S18">
        <v>87</v>
      </c>
      <c r="T18">
        <v>435</v>
      </c>
    </row>
    <row r="19" spans="1:20" x14ac:dyDescent="0.25">
      <c r="A19" t="s">
        <v>45</v>
      </c>
      <c r="B19" t="s">
        <v>36</v>
      </c>
      <c r="C19">
        <v>15</v>
      </c>
      <c r="D19">
        <v>1330</v>
      </c>
      <c r="E19" t="s">
        <v>4</v>
      </c>
      <c r="F19" t="s">
        <v>31</v>
      </c>
      <c r="G19" s="2">
        <v>45468</v>
      </c>
      <c r="H19">
        <v>4.71</v>
      </c>
      <c r="I19">
        <v>509</v>
      </c>
      <c r="J19">
        <v>92</v>
      </c>
      <c r="K19">
        <v>35440</v>
      </c>
      <c r="L19">
        <v>1076</v>
      </c>
      <c r="M19">
        <v>1</v>
      </c>
      <c r="N19">
        <v>650</v>
      </c>
      <c r="O19">
        <v>2101</v>
      </c>
      <c r="P19">
        <v>86</v>
      </c>
      <c r="Q19">
        <v>259</v>
      </c>
      <c r="R19">
        <v>94</v>
      </c>
      <c r="S19">
        <v>84</v>
      </c>
      <c r="T19">
        <v>777</v>
      </c>
    </row>
    <row r="20" spans="1:20" x14ac:dyDescent="0.25">
      <c r="A20" t="s">
        <v>46</v>
      </c>
      <c r="B20" t="s">
        <v>34</v>
      </c>
      <c r="C20">
        <v>8</v>
      </c>
      <c r="D20">
        <v>1189</v>
      </c>
      <c r="E20" t="s">
        <v>4</v>
      </c>
      <c r="F20" t="s">
        <v>35</v>
      </c>
      <c r="G20" s="2">
        <v>45531</v>
      </c>
      <c r="H20">
        <v>2.94</v>
      </c>
      <c r="I20">
        <v>809</v>
      </c>
      <c r="J20">
        <v>94</v>
      </c>
      <c r="K20">
        <v>43050</v>
      </c>
      <c r="L20">
        <v>1169</v>
      </c>
      <c r="M20">
        <v>8</v>
      </c>
      <c r="N20">
        <v>516</v>
      </c>
      <c r="O20">
        <v>2367</v>
      </c>
      <c r="P20">
        <v>97</v>
      </c>
      <c r="Q20">
        <v>153</v>
      </c>
      <c r="R20">
        <v>91</v>
      </c>
      <c r="S20">
        <v>84</v>
      </c>
      <c r="T20">
        <v>435</v>
      </c>
    </row>
    <row r="21" spans="1:20" x14ac:dyDescent="0.25">
      <c r="A21" t="s">
        <v>47</v>
      </c>
      <c r="B21" t="s">
        <v>34</v>
      </c>
      <c r="C21">
        <v>13</v>
      </c>
      <c r="D21">
        <v>1079</v>
      </c>
      <c r="E21" t="s">
        <v>4</v>
      </c>
      <c r="F21" t="s">
        <v>32</v>
      </c>
      <c r="G21" s="2">
        <v>45572</v>
      </c>
      <c r="H21">
        <v>3.73</v>
      </c>
      <c r="I21">
        <v>708</v>
      </c>
      <c r="J21">
        <v>95</v>
      </c>
      <c r="K21">
        <v>35970</v>
      </c>
      <c r="L21">
        <v>1373</v>
      </c>
      <c r="M21">
        <v>4</v>
      </c>
      <c r="N21">
        <v>1535</v>
      </c>
      <c r="O21">
        <v>2000</v>
      </c>
      <c r="P21">
        <v>88</v>
      </c>
      <c r="Q21">
        <v>463</v>
      </c>
      <c r="R21">
        <v>90</v>
      </c>
      <c r="S21">
        <v>82</v>
      </c>
      <c r="T21">
        <v>624</v>
      </c>
    </row>
    <row r="22" spans="1:20" x14ac:dyDescent="0.25">
      <c r="A22" t="s">
        <v>48</v>
      </c>
      <c r="B22" t="s">
        <v>26</v>
      </c>
      <c r="C22">
        <v>5</v>
      </c>
      <c r="D22">
        <v>1001</v>
      </c>
      <c r="E22" t="s">
        <v>4</v>
      </c>
      <c r="F22" t="s">
        <v>35</v>
      </c>
      <c r="G22" s="2">
        <v>45605</v>
      </c>
      <c r="H22">
        <v>1.23</v>
      </c>
      <c r="I22">
        <v>952</v>
      </c>
      <c r="J22">
        <v>93</v>
      </c>
      <c r="K22">
        <v>38900</v>
      </c>
      <c r="L22">
        <v>937</v>
      </c>
      <c r="M22">
        <v>8</v>
      </c>
      <c r="N22">
        <v>519</v>
      </c>
      <c r="O22">
        <v>1229</v>
      </c>
      <c r="P22">
        <v>82</v>
      </c>
      <c r="Q22">
        <v>483</v>
      </c>
      <c r="R22">
        <v>92</v>
      </c>
      <c r="S22">
        <v>97</v>
      </c>
      <c r="T22">
        <v>318</v>
      </c>
    </row>
    <row r="23" spans="1:20" x14ac:dyDescent="0.25">
      <c r="A23" t="s">
        <v>49</v>
      </c>
      <c r="B23" t="s">
        <v>29</v>
      </c>
      <c r="C23">
        <v>13</v>
      </c>
      <c r="D23">
        <v>1075</v>
      </c>
      <c r="E23" t="s">
        <v>4</v>
      </c>
      <c r="F23" t="s">
        <v>35</v>
      </c>
      <c r="G23" s="2">
        <v>45301</v>
      </c>
      <c r="H23">
        <v>2.14</v>
      </c>
      <c r="I23">
        <v>1455</v>
      </c>
      <c r="J23">
        <v>97</v>
      </c>
      <c r="K23">
        <v>49820</v>
      </c>
      <c r="L23">
        <v>1381</v>
      </c>
      <c r="M23">
        <v>0</v>
      </c>
      <c r="N23">
        <v>1232</v>
      </c>
      <c r="O23">
        <v>1430</v>
      </c>
      <c r="P23">
        <v>87</v>
      </c>
      <c r="Q23">
        <v>341</v>
      </c>
      <c r="R23">
        <v>91</v>
      </c>
      <c r="S23">
        <v>91</v>
      </c>
      <c r="T23">
        <v>699</v>
      </c>
    </row>
    <row r="24" spans="1:20" x14ac:dyDescent="0.25">
      <c r="A24" t="s">
        <v>50</v>
      </c>
      <c r="B24" t="s">
        <v>29</v>
      </c>
      <c r="C24">
        <v>7</v>
      </c>
      <c r="D24">
        <v>1473</v>
      </c>
      <c r="E24" t="s">
        <v>5</v>
      </c>
      <c r="F24" t="s">
        <v>35</v>
      </c>
      <c r="G24" s="2">
        <v>45365</v>
      </c>
      <c r="H24">
        <v>0.61</v>
      </c>
      <c r="I24">
        <v>1254</v>
      </c>
      <c r="J24">
        <v>99</v>
      </c>
      <c r="K24">
        <v>23600</v>
      </c>
      <c r="L24">
        <v>1301</v>
      </c>
      <c r="M24">
        <v>6</v>
      </c>
      <c r="N24">
        <v>1871</v>
      </c>
      <c r="O24">
        <v>2769</v>
      </c>
      <c r="P24">
        <v>87</v>
      </c>
      <c r="Q24">
        <v>136</v>
      </c>
      <c r="R24">
        <v>92</v>
      </c>
      <c r="S24">
        <v>83</v>
      </c>
      <c r="T24">
        <v>495</v>
      </c>
    </row>
    <row r="25" spans="1:20" x14ac:dyDescent="0.25">
      <c r="A25" t="s">
        <v>51</v>
      </c>
      <c r="B25" t="s">
        <v>38</v>
      </c>
      <c r="C25">
        <v>8</v>
      </c>
      <c r="D25">
        <v>1102</v>
      </c>
      <c r="E25" t="s">
        <v>4</v>
      </c>
      <c r="F25" t="s">
        <v>32</v>
      </c>
      <c r="G25" s="2">
        <v>45439</v>
      </c>
      <c r="H25">
        <v>4.08</v>
      </c>
      <c r="I25">
        <v>733</v>
      </c>
      <c r="J25">
        <v>88</v>
      </c>
      <c r="K25">
        <v>10960</v>
      </c>
      <c r="L25">
        <v>1175</v>
      </c>
      <c r="M25">
        <v>3</v>
      </c>
      <c r="N25">
        <v>1316</v>
      </c>
      <c r="O25">
        <v>1672</v>
      </c>
      <c r="P25">
        <v>88</v>
      </c>
      <c r="Q25">
        <v>442</v>
      </c>
      <c r="R25">
        <v>91</v>
      </c>
      <c r="S25">
        <v>88</v>
      </c>
      <c r="T25">
        <v>479</v>
      </c>
    </row>
    <row r="26" spans="1:20" x14ac:dyDescent="0.25">
      <c r="A26" t="s">
        <v>52</v>
      </c>
      <c r="B26" t="s">
        <v>29</v>
      </c>
      <c r="C26">
        <v>10</v>
      </c>
      <c r="D26">
        <v>1480</v>
      </c>
      <c r="E26" t="s">
        <v>5</v>
      </c>
      <c r="F26" t="s">
        <v>27</v>
      </c>
      <c r="G26" s="2">
        <v>45418</v>
      </c>
      <c r="H26">
        <v>3.11</v>
      </c>
      <c r="I26">
        <v>771</v>
      </c>
      <c r="J26">
        <v>85</v>
      </c>
      <c r="K26">
        <v>14440</v>
      </c>
      <c r="L26">
        <v>1110</v>
      </c>
      <c r="M26">
        <v>6</v>
      </c>
      <c r="N26">
        <v>1207</v>
      </c>
      <c r="O26">
        <v>2492</v>
      </c>
      <c r="P26">
        <v>90</v>
      </c>
      <c r="Q26">
        <v>223</v>
      </c>
      <c r="R26">
        <v>99</v>
      </c>
      <c r="S26">
        <v>96</v>
      </c>
      <c r="T26">
        <v>359</v>
      </c>
    </row>
    <row r="27" spans="1:20" x14ac:dyDescent="0.25">
      <c r="A27" t="s">
        <v>53</v>
      </c>
      <c r="B27" t="s">
        <v>29</v>
      </c>
      <c r="C27">
        <v>8</v>
      </c>
      <c r="D27">
        <v>1130</v>
      </c>
      <c r="E27" t="s">
        <v>5</v>
      </c>
      <c r="F27" t="s">
        <v>31</v>
      </c>
      <c r="G27" s="2">
        <v>45308</v>
      </c>
      <c r="H27">
        <v>4.67</v>
      </c>
      <c r="I27">
        <v>1051</v>
      </c>
      <c r="J27">
        <v>95</v>
      </c>
      <c r="K27">
        <v>39460</v>
      </c>
      <c r="L27">
        <v>1462</v>
      </c>
      <c r="M27">
        <v>10</v>
      </c>
      <c r="N27">
        <v>903</v>
      </c>
      <c r="O27">
        <v>1745</v>
      </c>
      <c r="P27">
        <v>93</v>
      </c>
      <c r="Q27">
        <v>35</v>
      </c>
      <c r="R27">
        <v>95</v>
      </c>
      <c r="S27">
        <v>99</v>
      </c>
      <c r="T27">
        <v>460</v>
      </c>
    </row>
    <row r="28" spans="1:20" x14ac:dyDescent="0.25">
      <c r="A28" t="s">
        <v>54</v>
      </c>
      <c r="B28" t="s">
        <v>26</v>
      </c>
      <c r="C28">
        <v>13</v>
      </c>
      <c r="D28">
        <v>1158</v>
      </c>
      <c r="E28" t="s">
        <v>3</v>
      </c>
      <c r="F28" t="s">
        <v>31</v>
      </c>
      <c r="G28" s="2">
        <v>45456</v>
      </c>
      <c r="H28">
        <v>3.64</v>
      </c>
      <c r="I28">
        <v>1067</v>
      </c>
      <c r="J28">
        <v>87</v>
      </c>
      <c r="K28">
        <v>17850</v>
      </c>
      <c r="L28">
        <v>930</v>
      </c>
      <c r="M28">
        <v>10</v>
      </c>
      <c r="N28">
        <v>1276</v>
      </c>
      <c r="O28">
        <v>2387</v>
      </c>
      <c r="P28">
        <v>85</v>
      </c>
      <c r="Q28">
        <v>315</v>
      </c>
      <c r="R28">
        <v>99</v>
      </c>
      <c r="S28">
        <v>89</v>
      </c>
      <c r="T28">
        <v>507</v>
      </c>
    </row>
    <row r="29" spans="1:20" x14ac:dyDescent="0.25">
      <c r="A29" t="s">
        <v>55</v>
      </c>
      <c r="B29" t="s">
        <v>26</v>
      </c>
      <c r="C29">
        <v>9</v>
      </c>
      <c r="D29">
        <v>1107</v>
      </c>
      <c r="E29" t="s">
        <v>4</v>
      </c>
      <c r="F29" t="s">
        <v>30</v>
      </c>
      <c r="G29" s="2">
        <v>45586</v>
      </c>
      <c r="H29">
        <v>1.95</v>
      </c>
      <c r="I29">
        <v>952</v>
      </c>
      <c r="J29">
        <v>92</v>
      </c>
      <c r="K29">
        <v>37670</v>
      </c>
      <c r="L29">
        <v>718</v>
      </c>
      <c r="M29">
        <v>8</v>
      </c>
      <c r="N29">
        <v>1469</v>
      </c>
      <c r="O29">
        <v>2625</v>
      </c>
      <c r="P29">
        <v>85</v>
      </c>
      <c r="Q29">
        <v>337</v>
      </c>
      <c r="R29">
        <v>91</v>
      </c>
      <c r="S29">
        <v>89</v>
      </c>
      <c r="T29">
        <v>563</v>
      </c>
    </row>
    <row r="30" spans="1:20" x14ac:dyDescent="0.25">
      <c r="A30" t="s">
        <v>56</v>
      </c>
      <c r="B30" t="s">
        <v>34</v>
      </c>
      <c r="C30">
        <v>8</v>
      </c>
      <c r="D30">
        <v>1344</v>
      </c>
      <c r="E30" t="s">
        <v>4</v>
      </c>
      <c r="F30" t="s">
        <v>35</v>
      </c>
      <c r="G30" s="2">
        <v>45387</v>
      </c>
      <c r="H30">
        <v>0.61</v>
      </c>
      <c r="I30">
        <v>750</v>
      </c>
      <c r="J30">
        <v>92</v>
      </c>
      <c r="K30">
        <v>35030</v>
      </c>
      <c r="L30">
        <v>1370</v>
      </c>
      <c r="M30">
        <v>1</v>
      </c>
      <c r="N30">
        <v>1432</v>
      </c>
      <c r="O30">
        <v>1848</v>
      </c>
      <c r="P30">
        <v>98</v>
      </c>
      <c r="Q30">
        <v>99</v>
      </c>
      <c r="R30">
        <v>96</v>
      </c>
      <c r="S30">
        <v>95</v>
      </c>
      <c r="T30">
        <v>504</v>
      </c>
    </row>
    <row r="31" spans="1:20" x14ac:dyDescent="0.25">
      <c r="A31" t="s">
        <v>57</v>
      </c>
      <c r="B31" t="s">
        <v>36</v>
      </c>
      <c r="C31">
        <v>15</v>
      </c>
      <c r="D31">
        <v>1352</v>
      </c>
      <c r="E31" t="s">
        <v>5</v>
      </c>
      <c r="F31" t="s">
        <v>27</v>
      </c>
      <c r="G31" s="2">
        <v>45481</v>
      </c>
      <c r="H31">
        <v>1.29</v>
      </c>
      <c r="I31">
        <v>1480</v>
      </c>
      <c r="J31">
        <v>96</v>
      </c>
      <c r="K31">
        <v>31210</v>
      </c>
      <c r="L31">
        <v>975</v>
      </c>
      <c r="M31">
        <v>0</v>
      </c>
      <c r="N31">
        <v>1641</v>
      </c>
      <c r="O31">
        <v>1510</v>
      </c>
      <c r="P31">
        <v>83</v>
      </c>
      <c r="Q31">
        <v>233</v>
      </c>
      <c r="R31">
        <v>92</v>
      </c>
      <c r="S31">
        <v>94</v>
      </c>
      <c r="T31">
        <v>641</v>
      </c>
    </row>
    <row r="32" spans="1:20" x14ac:dyDescent="0.25">
      <c r="A32" t="s">
        <v>58</v>
      </c>
      <c r="B32" t="s">
        <v>38</v>
      </c>
      <c r="C32">
        <v>14</v>
      </c>
      <c r="D32">
        <v>1417</v>
      </c>
      <c r="E32" t="s">
        <v>3</v>
      </c>
      <c r="F32" t="s">
        <v>30</v>
      </c>
      <c r="G32" s="2">
        <v>45500</v>
      </c>
      <c r="H32">
        <v>4.58</v>
      </c>
      <c r="I32">
        <v>956</v>
      </c>
      <c r="J32">
        <v>99</v>
      </c>
      <c r="K32">
        <v>16510</v>
      </c>
      <c r="L32">
        <v>1261</v>
      </c>
      <c r="M32">
        <v>7</v>
      </c>
      <c r="N32">
        <v>1421</v>
      </c>
      <c r="O32">
        <v>1530</v>
      </c>
      <c r="P32">
        <v>87</v>
      </c>
      <c r="Q32">
        <v>430</v>
      </c>
      <c r="R32">
        <v>94</v>
      </c>
      <c r="S32">
        <v>96</v>
      </c>
      <c r="T32">
        <v>548</v>
      </c>
    </row>
    <row r="33" spans="1:20" x14ac:dyDescent="0.25">
      <c r="A33" t="s">
        <v>59</v>
      </c>
      <c r="B33" t="s">
        <v>26</v>
      </c>
      <c r="C33">
        <v>12</v>
      </c>
      <c r="D33">
        <v>1039</v>
      </c>
      <c r="E33" t="s">
        <v>3</v>
      </c>
      <c r="F33" t="s">
        <v>32</v>
      </c>
      <c r="G33" s="2">
        <v>45391</v>
      </c>
      <c r="H33">
        <v>2.0099999999999998</v>
      </c>
      <c r="I33">
        <v>1414</v>
      </c>
      <c r="J33">
        <v>93</v>
      </c>
      <c r="K33">
        <v>13300</v>
      </c>
      <c r="L33">
        <v>641</v>
      </c>
      <c r="M33">
        <v>2</v>
      </c>
      <c r="N33">
        <v>973</v>
      </c>
      <c r="O33">
        <v>1784</v>
      </c>
      <c r="P33">
        <v>84</v>
      </c>
      <c r="Q33">
        <v>361</v>
      </c>
      <c r="R33">
        <v>93</v>
      </c>
      <c r="S33">
        <v>82</v>
      </c>
      <c r="T33">
        <v>512</v>
      </c>
    </row>
    <row r="34" spans="1:20" x14ac:dyDescent="0.25">
      <c r="A34" t="s">
        <v>60</v>
      </c>
      <c r="B34" t="s">
        <v>26</v>
      </c>
      <c r="C34">
        <v>13</v>
      </c>
      <c r="D34">
        <v>1238</v>
      </c>
      <c r="E34" t="s">
        <v>4</v>
      </c>
      <c r="F34" t="s">
        <v>27</v>
      </c>
      <c r="G34" s="2">
        <v>45409</v>
      </c>
      <c r="H34">
        <v>2.39</v>
      </c>
      <c r="I34">
        <v>1426</v>
      </c>
      <c r="J34">
        <v>97</v>
      </c>
      <c r="K34">
        <v>33920</v>
      </c>
      <c r="L34">
        <v>1468</v>
      </c>
      <c r="M34">
        <v>0</v>
      </c>
      <c r="N34">
        <v>1679</v>
      </c>
      <c r="O34">
        <v>1779</v>
      </c>
      <c r="P34">
        <v>95</v>
      </c>
      <c r="Q34">
        <v>3</v>
      </c>
      <c r="R34">
        <v>95</v>
      </c>
      <c r="S34">
        <v>89</v>
      </c>
      <c r="T34">
        <v>685</v>
      </c>
    </row>
    <row r="35" spans="1:20" x14ac:dyDescent="0.25">
      <c r="A35" t="s">
        <v>61</v>
      </c>
      <c r="B35" t="s">
        <v>38</v>
      </c>
      <c r="C35">
        <v>13</v>
      </c>
      <c r="D35">
        <v>1382</v>
      </c>
      <c r="E35" t="s">
        <v>3</v>
      </c>
      <c r="F35" t="s">
        <v>30</v>
      </c>
      <c r="G35" s="2">
        <v>45573</v>
      </c>
      <c r="H35">
        <v>2.7</v>
      </c>
      <c r="I35">
        <v>779</v>
      </c>
      <c r="J35">
        <v>91</v>
      </c>
      <c r="K35">
        <v>29890</v>
      </c>
      <c r="L35">
        <v>529</v>
      </c>
      <c r="M35">
        <v>6</v>
      </c>
      <c r="N35">
        <v>1188</v>
      </c>
      <c r="O35">
        <v>2369</v>
      </c>
      <c r="P35">
        <v>92</v>
      </c>
      <c r="Q35">
        <v>370</v>
      </c>
      <c r="R35">
        <v>92</v>
      </c>
      <c r="S35">
        <v>94</v>
      </c>
      <c r="T35">
        <v>770</v>
      </c>
    </row>
    <row r="36" spans="1:20" x14ac:dyDescent="0.25">
      <c r="A36" t="s">
        <v>62</v>
      </c>
      <c r="B36" t="s">
        <v>29</v>
      </c>
      <c r="C36">
        <v>13</v>
      </c>
      <c r="D36">
        <v>1013</v>
      </c>
      <c r="E36" t="s">
        <v>4</v>
      </c>
      <c r="F36" t="s">
        <v>30</v>
      </c>
      <c r="G36" s="2">
        <v>45587</v>
      </c>
      <c r="H36">
        <v>0.62</v>
      </c>
      <c r="I36">
        <v>1158</v>
      </c>
      <c r="J36">
        <v>91</v>
      </c>
      <c r="K36">
        <v>15550</v>
      </c>
      <c r="L36">
        <v>1387</v>
      </c>
      <c r="M36">
        <v>7</v>
      </c>
      <c r="N36">
        <v>872</v>
      </c>
      <c r="O36">
        <v>1102</v>
      </c>
      <c r="P36">
        <v>88</v>
      </c>
      <c r="Q36">
        <v>194</v>
      </c>
      <c r="R36">
        <v>95</v>
      </c>
      <c r="S36">
        <v>86</v>
      </c>
      <c r="T36">
        <v>532</v>
      </c>
    </row>
    <row r="37" spans="1:20" x14ac:dyDescent="0.25">
      <c r="A37" t="s">
        <v>63</v>
      </c>
      <c r="B37" t="s">
        <v>26</v>
      </c>
      <c r="C37">
        <v>11</v>
      </c>
      <c r="D37">
        <v>1142</v>
      </c>
      <c r="E37" t="s">
        <v>4</v>
      </c>
      <c r="F37" t="s">
        <v>32</v>
      </c>
      <c r="G37" s="2">
        <v>45338</v>
      </c>
      <c r="H37">
        <v>0.59</v>
      </c>
      <c r="I37">
        <v>1052</v>
      </c>
      <c r="J37">
        <v>85</v>
      </c>
      <c r="K37">
        <v>48990</v>
      </c>
      <c r="L37">
        <v>858</v>
      </c>
      <c r="M37">
        <v>3</v>
      </c>
      <c r="N37">
        <v>1831</v>
      </c>
      <c r="O37">
        <v>1140</v>
      </c>
      <c r="P37">
        <v>81</v>
      </c>
      <c r="Q37">
        <v>386</v>
      </c>
      <c r="R37">
        <v>90</v>
      </c>
      <c r="S37">
        <v>87</v>
      </c>
      <c r="T37">
        <v>402</v>
      </c>
    </row>
    <row r="38" spans="1:20" x14ac:dyDescent="0.25">
      <c r="A38" t="s">
        <v>64</v>
      </c>
      <c r="B38" t="s">
        <v>29</v>
      </c>
      <c r="C38">
        <v>7</v>
      </c>
      <c r="D38">
        <v>1122</v>
      </c>
      <c r="E38" t="s">
        <v>5</v>
      </c>
      <c r="F38" t="s">
        <v>31</v>
      </c>
      <c r="G38" s="2">
        <v>45600</v>
      </c>
      <c r="H38">
        <v>3.04</v>
      </c>
      <c r="I38">
        <v>723</v>
      </c>
      <c r="J38">
        <v>92</v>
      </c>
      <c r="K38">
        <v>38650</v>
      </c>
      <c r="L38">
        <v>762</v>
      </c>
      <c r="M38">
        <v>5</v>
      </c>
      <c r="N38">
        <v>843</v>
      </c>
      <c r="O38">
        <v>2240</v>
      </c>
      <c r="P38">
        <v>99</v>
      </c>
      <c r="Q38">
        <v>493</v>
      </c>
      <c r="R38">
        <v>91</v>
      </c>
      <c r="S38">
        <v>85</v>
      </c>
      <c r="T38">
        <v>793</v>
      </c>
    </row>
    <row r="39" spans="1:20" x14ac:dyDescent="0.25">
      <c r="A39" t="s">
        <v>65</v>
      </c>
      <c r="B39" t="s">
        <v>34</v>
      </c>
      <c r="C39">
        <v>14</v>
      </c>
      <c r="D39">
        <v>1013</v>
      </c>
      <c r="E39" t="s">
        <v>4</v>
      </c>
      <c r="F39" t="s">
        <v>30</v>
      </c>
      <c r="G39" s="2">
        <v>45609</v>
      </c>
      <c r="H39">
        <v>2.2799999999999998</v>
      </c>
      <c r="I39">
        <v>1232</v>
      </c>
      <c r="J39">
        <v>88</v>
      </c>
      <c r="K39">
        <v>13110</v>
      </c>
      <c r="L39">
        <v>1106</v>
      </c>
      <c r="M39">
        <v>10</v>
      </c>
      <c r="N39">
        <v>997</v>
      </c>
      <c r="O39">
        <v>1208</v>
      </c>
      <c r="P39">
        <v>89</v>
      </c>
      <c r="Q39">
        <v>435</v>
      </c>
      <c r="R39">
        <v>99</v>
      </c>
      <c r="S39">
        <v>83</v>
      </c>
      <c r="T39">
        <v>707</v>
      </c>
    </row>
    <row r="40" spans="1:20" x14ac:dyDescent="0.25">
      <c r="A40" t="s">
        <v>66</v>
      </c>
      <c r="B40" t="s">
        <v>26</v>
      </c>
      <c r="C40">
        <v>13</v>
      </c>
      <c r="D40">
        <v>1219</v>
      </c>
      <c r="E40" t="s">
        <v>3</v>
      </c>
      <c r="F40" t="s">
        <v>32</v>
      </c>
      <c r="G40" s="2">
        <v>45339</v>
      </c>
      <c r="H40">
        <v>3.41</v>
      </c>
      <c r="I40">
        <v>512</v>
      </c>
      <c r="J40">
        <v>98</v>
      </c>
      <c r="K40">
        <v>27200</v>
      </c>
      <c r="L40">
        <v>1342</v>
      </c>
      <c r="M40">
        <v>7</v>
      </c>
      <c r="N40">
        <v>716</v>
      </c>
      <c r="O40">
        <v>1887</v>
      </c>
      <c r="P40">
        <v>91</v>
      </c>
      <c r="Q40">
        <v>325</v>
      </c>
      <c r="R40">
        <v>97</v>
      </c>
      <c r="S40">
        <v>84</v>
      </c>
      <c r="T40">
        <v>522</v>
      </c>
    </row>
    <row r="41" spans="1:20" x14ac:dyDescent="0.25">
      <c r="A41" t="s">
        <v>67</v>
      </c>
      <c r="B41" t="s">
        <v>29</v>
      </c>
      <c r="C41">
        <v>15</v>
      </c>
      <c r="D41">
        <v>1138</v>
      </c>
      <c r="E41" t="s">
        <v>3</v>
      </c>
      <c r="F41" t="s">
        <v>30</v>
      </c>
      <c r="G41" s="2">
        <v>45519</v>
      </c>
      <c r="H41">
        <v>2.46</v>
      </c>
      <c r="I41">
        <v>1248</v>
      </c>
      <c r="J41">
        <v>94</v>
      </c>
      <c r="K41">
        <v>20990</v>
      </c>
      <c r="L41">
        <v>830</v>
      </c>
      <c r="M41">
        <v>3</v>
      </c>
      <c r="N41">
        <v>677</v>
      </c>
      <c r="O41">
        <v>1571</v>
      </c>
      <c r="P41">
        <v>94</v>
      </c>
      <c r="Q41">
        <v>124</v>
      </c>
      <c r="R41">
        <v>97</v>
      </c>
      <c r="S41">
        <v>98</v>
      </c>
      <c r="T41">
        <v>612</v>
      </c>
    </row>
    <row r="42" spans="1:20" x14ac:dyDescent="0.25">
      <c r="A42" t="s">
        <v>68</v>
      </c>
      <c r="B42" t="s">
        <v>26</v>
      </c>
      <c r="C42">
        <v>5</v>
      </c>
      <c r="D42">
        <v>1253</v>
      </c>
      <c r="E42" t="s">
        <v>4</v>
      </c>
      <c r="F42" t="s">
        <v>35</v>
      </c>
      <c r="G42" s="2">
        <v>45511</v>
      </c>
      <c r="H42">
        <v>2.1</v>
      </c>
      <c r="I42">
        <v>764</v>
      </c>
      <c r="J42">
        <v>90</v>
      </c>
      <c r="K42">
        <v>21450</v>
      </c>
      <c r="L42">
        <v>1401</v>
      </c>
      <c r="M42">
        <v>9</v>
      </c>
      <c r="N42">
        <v>1936</v>
      </c>
      <c r="O42">
        <v>2802</v>
      </c>
      <c r="P42">
        <v>88</v>
      </c>
      <c r="Q42">
        <v>284</v>
      </c>
      <c r="R42">
        <v>90</v>
      </c>
      <c r="S42">
        <v>96</v>
      </c>
      <c r="T42">
        <v>785</v>
      </c>
    </row>
    <row r="43" spans="1:20" x14ac:dyDescent="0.25">
      <c r="A43" t="s">
        <v>69</v>
      </c>
      <c r="B43" t="s">
        <v>34</v>
      </c>
      <c r="C43">
        <v>8</v>
      </c>
      <c r="D43">
        <v>1368</v>
      </c>
      <c r="E43" t="s">
        <v>4</v>
      </c>
      <c r="F43" t="s">
        <v>31</v>
      </c>
      <c r="G43" s="2">
        <v>45560</v>
      </c>
      <c r="H43">
        <v>1.58</v>
      </c>
      <c r="I43">
        <v>987</v>
      </c>
      <c r="J43">
        <v>95</v>
      </c>
      <c r="K43">
        <v>39150</v>
      </c>
      <c r="L43">
        <v>1002</v>
      </c>
      <c r="M43">
        <v>7</v>
      </c>
      <c r="N43">
        <v>535</v>
      </c>
      <c r="O43">
        <v>1190</v>
      </c>
      <c r="P43">
        <v>89</v>
      </c>
      <c r="Q43">
        <v>113</v>
      </c>
      <c r="R43">
        <v>96</v>
      </c>
      <c r="S43">
        <v>87</v>
      </c>
      <c r="T43">
        <v>456</v>
      </c>
    </row>
    <row r="44" spans="1:20" x14ac:dyDescent="0.25">
      <c r="A44" t="s">
        <v>70</v>
      </c>
      <c r="B44" t="s">
        <v>38</v>
      </c>
      <c r="C44">
        <v>13</v>
      </c>
      <c r="D44">
        <v>1271</v>
      </c>
      <c r="E44" t="s">
        <v>4</v>
      </c>
      <c r="F44" t="s">
        <v>31</v>
      </c>
      <c r="G44" s="2">
        <v>45644</v>
      </c>
      <c r="H44">
        <v>1.99</v>
      </c>
      <c r="I44">
        <v>1219</v>
      </c>
      <c r="J44">
        <v>92</v>
      </c>
      <c r="K44">
        <v>21090</v>
      </c>
      <c r="L44">
        <v>813</v>
      </c>
      <c r="M44">
        <v>4</v>
      </c>
      <c r="N44">
        <v>972</v>
      </c>
      <c r="O44">
        <v>1247</v>
      </c>
      <c r="P44">
        <v>86</v>
      </c>
      <c r="Q44">
        <v>161</v>
      </c>
      <c r="R44">
        <v>91</v>
      </c>
      <c r="S44">
        <v>97</v>
      </c>
      <c r="T44">
        <v>786</v>
      </c>
    </row>
    <row r="45" spans="1:20" x14ac:dyDescent="0.25">
      <c r="A45" t="s">
        <v>71</v>
      </c>
      <c r="B45" t="s">
        <v>36</v>
      </c>
      <c r="C45">
        <v>8</v>
      </c>
      <c r="D45">
        <v>1378</v>
      </c>
      <c r="E45" t="s">
        <v>4</v>
      </c>
      <c r="F45" t="s">
        <v>32</v>
      </c>
      <c r="G45" s="2">
        <v>45645</v>
      </c>
      <c r="H45">
        <v>4.8899999999999997</v>
      </c>
      <c r="I45">
        <v>1037</v>
      </c>
      <c r="J45">
        <v>94</v>
      </c>
      <c r="K45">
        <v>21590</v>
      </c>
      <c r="L45">
        <v>602</v>
      </c>
      <c r="M45">
        <v>3</v>
      </c>
      <c r="N45">
        <v>1106</v>
      </c>
      <c r="O45">
        <v>1465</v>
      </c>
      <c r="P45">
        <v>91</v>
      </c>
      <c r="Q45">
        <v>91</v>
      </c>
      <c r="R45">
        <v>94</v>
      </c>
      <c r="S45">
        <v>80</v>
      </c>
      <c r="T45">
        <v>662</v>
      </c>
    </row>
    <row r="46" spans="1:20" x14ac:dyDescent="0.25">
      <c r="A46" t="s">
        <v>72</v>
      </c>
      <c r="B46" t="s">
        <v>26</v>
      </c>
      <c r="C46">
        <v>5</v>
      </c>
      <c r="D46">
        <v>1498</v>
      </c>
      <c r="E46" t="s">
        <v>5</v>
      </c>
      <c r="F46" t="s">
        <v>30</v>
      </c>
      <c r="G46" s="2">
        <v>45435</v>
      </c>
      <c r="H46">
        <v>4.75</v>
      </c>
      <c r="I46">
        <v>1153</v>
      </c>
      <c r="J46">
        <v>98</v>
      </c>
      <c r="K46">
        <v>40830</v>
      </c>
      <c r="L46">
        <v>1002</v>
      </c>
      <c r="M46">
        <v>1</v>
      </c>
      <c r="N46">
        <v>525</v>
      </c>
      <c r="O46">
        <v>2175</v>
      </c>
      <c r="P46">
        <v>89</v>
      </c>
      <c r="Q46">
        <v>240</v>
      </c>
      <c r="R46">
        <v>97</v>
      </c>
      <c r="S46">
        <v>94</v>
      </c>
      <c r="T46">
        <v>474</v>
      </c>
    </row>
    <row r="47" spans="1:20" x14ac:dyDescent="0.25">
      <c r="A47" t="s">
        <v>73</v>
      </c>
      <c r="B47" t="s">
        <v>34</v>
      </c>
      <c r="C47">
        <v>9</v>
      </c>
      <c r="D47">
        <v>1481</v>
      </c>
      <c r="E47" t="s">
        <v>4</v>
      </c>
      <c r="F47" t="s">
        <v>27</v>
      </c>
      <c r="G47" s="2">
        <v>45335</v>
      </c>
      <c r="H47">
        <v>2.71</v>
      </c>
      <c r="I47">
        <v>1090</v>
      </c>
      <c r="J47">
        <v>95</v>
      </c>
      <c r="K47">
        <v>38110</v>
      </c>
      <c r="L47">
        <v>554</v>
      </c>
      <c r="M47">
        <v>2</v>
      </c>
      <c r="N47">
        <v>805</v>
      </c>
      <c r="O47">
        <v>2661</v>
      </c>
      <c r="P47">
        <v>98</v>
      </c>
      <c r="Q47">
        <v>485</v>
      </c>
      <c r="R47">
        <v>94</v>
      </c>
      <c r="S47">
        <v>82</v>
      </c>
      <c r="T47">
        <v>427</v>
      </c>
    </row>
    <row r="48" spans="1:20" x14ac:dyDescent="0.25">
      <c r="A48" t="s">
        <v>74</v>
      </c>
      <c r="B48" t="s">
        <v>29</v>
      </c>
      <c r="C48">
        <v>11</v>
      </c>
      <c r="D48">
        <v>1310</v>
      </c>
      <c r="E48" t="s">
        <v>3</v>
      </c>
      <c r="F48" t="s">
        <v>30</v>
      </c>
      <c r="G48" s="2">
        <v>45407</v>
      </c>
      <c r="H48">
        <v>2.85</v>
      </c>
      <c r="I48">
        <v>961</v>
      </c>
      <c r="J48">
        <v>99</v>
      </c>
      <c r="K48">
        <v>28130</v>
      </c>
      <c r="L48">
        <v>804</v>
      </c>
      <c r="M48">
        <v>9</v>
      </c>
      <c r="N48">
        <v>1378</v>
      </c>
      <c r="O48">
        <v>1625</v>
      </c>
      <c r="P48">
        <v>98</v>
      </c>
      <c r="Q48">
        <v>317</v>
      </c>
      <c r="R48">
        <v>90</v>
      </c>
      <c r="S48">
        <v>99</v>
      </c>
      <c r="T48">
        <v>791</v>
      </c>
    </row>
    <row r="49" spans="1:20" x14ac:dyDescent="0.25">
      <c r="A49" t="s">
        <v>75</v>
      </c>
      <c r="B49" t="s">
        <v>36</v>
      </c>
      <c r="C49">
        <v>15</v>
      </c>
      <c r="D49">
        <v>1108</v>
      </c>
      <c r="E49" t="s">
        <v>4</v>
      </c>
      <c r="F49" t="s">
        <v>27</v>
      </c>
      <c r="G49" s="2">
        <v>45359</v>
      </c>
      <c r="H49">
        <v>1.28</v>
      </c>
      <c r="I49">
        <v>576</v>
      </c>
      <c r="J49">
        <v>87</v>
      </c>
      <c r="K49">
        <v>10100</v>
      </c>
      <c r="L49">
        <v>918</v>
      </c>
      <c r="M49">
        <v>7</v>
      </c>
      <c r="N49">
        <v>1911</v>
      </c>
      <c r="O49">
        <v>2216</v>
      </c>
      <c r="P49">
        <v>95</v>
      </c>
      <c r="Q49">
        <v>149</v>
      </c>
      <c r="R49">
        <v>90</v>
      </c>
      <c r="S49">
        <v>87</v>
      </c>
      <c r="T49">
        <v>447</v>
      </c>
    </row>
    <row r="50" spans="1:20" x14ac:dyDescent="0.25">
      <c r="A50" t="s">
        <v>76</v>
      </c>
      <c r="B50" t="s">
        <v>38</v>
      </c>
      <c r="C50">
        <v>6</v>
      </c>
      <c r="D50">
        <v>1351</v>
      </c>
      <c r="E50" t="s">
        <v>5</v>
      </c>
      <c r="F50" t="s">
        <v>32</v>
      </c>
      <c r="G50" s="2">
        <v>45615</v>
      </c>
      <c r="H50">
        <v>3.48</v>
      </c>
      <c r="I50">
        <v>1456</v>
      </c>
      <c r="J50">
        <v>88</v>
      </c>
      <c r="K50">
        <v>27410</v>
      </c>
      <c r="L50">
        <v>617</v>
      </c>
      <c r="M50">
        <v>8</v>
      </c>
      <c r="N50">
        <v>960</v>
      </c>
      <c r="O50">
        <v>2326</v>
      </c>
      <c r="P50">
        <v>84</v>
      </c>
      <c r="Q50">
        <v>465</v>
      </c>
      <c r="R50">
        <v>94</v>
      </c>
      <c r="S50">
        <v>84</v>
      </c>
      <c r="T50">
        <v>336</v>
      </c>
    </row>
    <row r="51" spans="1:20" x14ac:dyDescent="0.25">
      <c r="A51" t="s">
        <v>77</v>
      </c>
      <c r="B51" t="s">
        <v>36</v>
      </c>
      <c r="C51">
        <v>9</v>
      </c>
      <c r="D51">
        <v>1304</v>
      </c>
      <c r="E51" t="s">
        <v>3</v>
      </c>
      <c r="F51" t="s">
        <v>30</v>
      </c>
      <c r="G51" s="2">
        <v>45427</v>
      </c>
      <c r="H51">
        <v>1.06</v>
      </c>
      <c r="I51">
        <v>1205</v>
      </c>
      <c r="J51">
        <v>89</v>
      </c>
      <c r="K51">
        <v>38660</v>
      </c>
      <c r="L51">
        <v>912</v>
      </c>
      <c r="M51">
        <v>4</v>
      </c>
      <c r="N51">
        <v>1524</v>
      </c>
      <c r="O51">
        <v>2105</v>
      </c>
      <c r="P51">
        <v>95</v>
      </c>
      <c r="Q51">
        <v>224</v>
      </c>
      <c r="R51">
        <v>91</v>
      </c>
      <c r="S51">
        <v>99</v>
      </c>
      <c r="T51">
        <v>320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3ED19-74E5-480E-9BA8-351B3937CDEC}">
  <dimension ref="A1:E24"/>
  <sheetViews>
    <sheetView tabSelected="1" workbookViewId="0">
      <selection sqref="A1:E24"/>
    </sheetView>
  </sheetViews>
  <sheetFormatPr defaultRowHeight="15" x14ac:dyDescent="0.25"/>
  <cols>
    <col min="1" max="5" width="34.28515625" customWidth="1"/>
  </cols>
  <sheetData>
    <row r="1" spans="1:2" ht="15.75" x14ac:dyDescent="0.25">
      <c r="A1" s="3" t="s">
        <v>0</v>
      </c>
    </row>
    <row r="3" spans="1:2" x14ac:dyDescent="0.25">
      <c r="A3" s="1" t="s">
        <v>1</v>
      </c>
      <c r="B3" s="1" t="s">
        <v>2</v>
      </c>
    </row>
    <row r="4" spans="1:2" x14ac:dyDescent="0.25">
      <c r="A4" t="s">
        <v>3</v>
      </c>
      <c r="B4" s="4">
        <f>AVERAGEIF(Sheet1!E:E,"High",Sheet1!C:C)</f>
        <v>11.25</v>
      </c>
    </row>
    <row r="5" spans="1:2" x14ac:dyDescent="0.25">
      <c r="A5" t="s">
        <v>4</v>
      </c>
      <c r="B5" s="4">
        <f>AVERAGEIF(Sheet1!E:E,"Medium",Sheet1!C:C)</f>
        <v>15.125</v>
      </c>
    </row>
    <row r="6" spans="1:2" x14ac:dyDescent="0.25">
      <c r="A6" t="s">
        <v>5</v>
      </c>
      <c r="B6" s="4">
        <f>AVERAGEIF(Sheet1!E:E,"Low",Sheet1!C:C)</f>
        <v>12.857142857142858</v>
      </c>
    </row>
    <row r="9" spans="1:2" ht="15.75" x14ac:dyDescent="0.25">
      <c r="A9" s="3" t="s">
        <v>78</v>
      </c>
    </row>
    <row r="11" spans="1:2" x14ac:dyDescent="0.25">
      <c r="A11" s="1" t="s">
        <v>79</v>
      </c>
      <c r="B11" s="1" t="s">
        <v>80</v>
      </c>
    </row>
    <row r="12" spans="1:2" x14ac:dyDescent="0.25">
      <c r="A12" t="s">
        <v>28</v>
      </c>
      <c r="B12" s="4">
        <f>AVERAGEIF(Sheet1!A:A,"CARB123",Sheet1!P:P)</f>
        <v>90.25</v>
      </c>
    </row>
    <row r="13" spans="1:2" x14ac:dyDescent="0.25">
      <c r="A13" t="s">
        <v>25</v>
      </c>
      <c r="B13" s="4">
        <f>AVERAGEIF(Sheet1!A:A,"BIND567",Sheet1!P:P)</f>
        <v>99</v>
      </c>
    </row>
    <row r="14" spans="1:2" x14ac:dyDescent="0.25">
      <c r="A14" t="s">
        <v>33</v>
      </c>
      <c r="B14" s="4">
        <f>AVERAGEIF(Sheet1!A:A,"COAT890",Sheet1!P:P)</f>
        <v>84.2</v>
      </c>
    </row>
    <row r="17" spans="1:5" ht="15.75" x14ac:dyDescent="0.25">
      <c r="A17" s="3" t="s">
        <v>81</v>
      </c>
    </row>
    <row r="19" spans="1:5" x14ac:dyDescent="0.25">
      <c r="A19" s="1" t="s">
        <v>82</v>
      </c>
      <c r="B19" s="1" t="s">
        <v>83</v>
      </c>
      <c r="C19" s="1" t="s">
        <v>84</v>
      </c>
      <c r="D19" s="1" t="s">
        <v>85</v>
      </c>
      <c r="E19" s="1" t="s">
        <v>86</v>
      </c>
    </row>
    <row r="20" spans="1:5" x14ac:dyDescent="0.25">
      <c r="A20" t="s">
        <v>26</v>
      </c>
      <c r="B20" s="4">
        <f>AVERAGEIF(Sheet1!B:B,"EcoSupply",Sheet1!J:J)</f>
        <v>93.2</v>
      </c>
      <c r="C20" s="4">
        <f>AVERAGEIF(Sheet1!B:B,"EcoSupply",Sheet1!P:P)</f>
        <v>87.9</v>
      </c>
      <c r="D20" s="4">
        <f>AVERAGEIF(Sheet1!B:B,"EcoSupply",Sheet1!H:H)</f>
        <v>2.4980000000000002</v>
      </c>
      <c r="E20">
        <f>COUNTIF(Sheet1!B:B,"EcoSupply")</f>
        <v>10</v>
      </c>
    </row>
    <row r="21" spans="1:5" x14ac:dyDescent="0.25">
      <c r="A21" t="s">
        <v>29</v>
      </c>
      <c r="B21" s="4">
        <f>AVERAGEIF(Sheet1!B:B,"RawMatPlus",Sheet1!J:J)</f>
        <v>92.84615384615384</v>
      </c>
      <c r="C21" s="4">
        <f>AVERAGEIF(Sheet1!B:B,"RawMatPlus",Sheet1!P:P)</f>
        <v>90.615384615384613</v>
      </c>
      <c r="D21" s="4">
        <f>AVERAGEIF(Sheet1!B:B,"RawMatPlus",Sheet1!H:H)</f>
        <v>2.5961538461538463</v>
      </c>
      <c r="E21">
        <f>COUNTIF(Sheet1!B:B,"RawMatPlus")</f>
        <v>13</v>
      </c>
    </row>
    <row r="22" spans="1:5" x14ac:dyDescent="0.25">
      <c r="A22" t="s">
        <v>34</v>
      </c>
      <c r="B22" s="4">
        <f>AVERAGEIF(Sheet1!B:B,"GlobalChem",Sheet1!J:J)</f>
        <v>92.555555555555557</v>
      </c>
      <c r="C22" s="4">
        <f>AVERAGEIF(Sheet1!B:B,"GlobalChem",Sheet1!P:P)</f>
        <v>90.888888888888886</v>
      </c>
      <c r="D22" s="4">
        <f>AVERAGEIF(Sheet1!B:B,"GlobalChem",Sheet1!H:H)</f>
        <v>2.5677777777777777</v>
      </c>
      <c r="E22">
        <f>COUNTIF(Sheet1!B:B,"GlobalChem")</f>
        <v>9</v>
      </c>
    </row>
    <row r="23" spans="1:5" x14ac:dyDescent="0.25">
      <c r="A23" t="s">
        <v>36</v>
      </c>
      <c r="B23" s="4">
        <f>AVERAGEIF(Sheet1!B:B,"NextGen Pharma",Sheet1!J:J)</f>
        <v>91.818181818181813</v>
      </c>
      <c r="C23" s="4">
        <f>AVERAGEIF(Sheet1!B:B,"NextGen Pharma",Sheet1!P:P)</f>
        <v>91.545454545454547</v>
      </c>
      <c r="D23" s="4">
        <f>AVERAGEIF(Sheet1!B:B,"NextGen Pharma",Sheet1!H:H)</f>
        <v>2.2190909090909092</v>
      </c>
      <c r="E23">
        <f>COUNTIF(Sheet1!B:B,"NextGen Pharma")</f>
        <v>11</v>
      </c>
    </row>
    <row r="24" spans="1:5" x14ac:dyDescent="0.25">
      <c r="A24" t="s">
        <v>38</v>
      </c>
      <c r="B24" s="4">
        <f>AVERAGEIF(Sheet1!B:B,"PrimeLogistics",Sheet1!J:J)</f>
        <v>91.428571428571431</v>
      </c>
      <c r="C24" s="4">
        <f>AVERAGEIF(Sheet1!B:B,"PrimeLogistics",Sheet1!P:P)</f>
        <v>88</v>
      </c>
      <c r="D24" s="4">
        <f>AVERAGEIF(Sheet1!B:B,"PrimeLogistics",Sheet1!H:H)</f>
        <v>2.8885714285714283</v>
      </c>
      <c r="E24">
        <f>COUNTIF(Sheet1!B:B,"PrimeLogistics")</f>
        <v>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Insights</vt:lpstr>
    </vt:vector>
  </TitlesOfParts>
  <Company>JnJ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Narayanan, Arvinth [GTSUS]</dc:creator>
  <cp:lastModifiedBy>Narayanan, Arvinth [GTSUS]</cp:lastModifiedBy>
  <dcterms:created xsi:type="dcterms:W3CDTF">2026-06-11T20:04:03Z</dcterms:created>
  <dcterms:modified xsi:type="dcterms:W3CDTF">2026-06-15T00:59:27Z</dcterms:modified>
</cp:coreProperties>
</file>